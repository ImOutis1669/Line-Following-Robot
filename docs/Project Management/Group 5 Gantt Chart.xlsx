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codeName="ThisWorkbook"/>
  <mc:AlternateContent xmlns:mc="http://schemas.openxmlformats.org/markup-compatibility/2006">
    <mc:Choice Requires="x15">
      <x15ac:absPath xmlns:x15ac="http://schemas.microsoft.com/office/spreadsheetml/2010/11/ac" url="https://liveastonac-my.sharepoint.com/personal/230090767_aston_ac_uk/Documents/EE2PRJ - Team 5/1) Project Management/"/>
    </mc:Choice>
  </mc:AlternateContent>
  <xr:revisionPtr revIDLastSave="1286" documentId="8_{2365B107-D620-404B-A369-7DB5983DEE1D}" xr6:coauthVersionLast="47" xr6:coauthVersionMax="47" xr10:uidLastSave="{5AC14BA2-F5B3-4CB0-B601-FCAFACB434EF}"/>
  <bookViews>
    <workbookView xWindow="-98" yWindow="-98" windowWidth="21795" windowHeight="12975" xr2:uid="{00000000-000D-0000-FFFF-FFFF00000000}"/>
  </bookViews>
  <sheets>
    <sheet name="ProjectSchedule" sheetId="11" r:id="rId1"/>
    <sheet name="About" sheetId="12" r:id="rId2"/>
  </sheets>
  <definedNames>
    <definedName name="_xlnm.Print_Area" localSheetId="0">ProjectSchedule!$1:$71</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2" l="1"/>
  <c r="J1" i="11"/>
  <c r="H71" i="11" l="1"/>
  <c r="H66" i="11"/>
  <c r="H65" i="11"/>
  <c r="H64" i="11"/>
  <c r="H63" i="11"/>
  <c r="H62" i="11"/>
  <c r="H61" i="11"/>
  <c r="H51" i="11"/>
  <c r="H50" i="11"/>
  <c r="H46" i="11"/>
  <c r="H37" i="11"/>
  <c r="H36" i="11"/>
  <c r="H22" i="11"/>
  <c r="H21" i="11"/>
  <c r="H20" i="11"/>
  <c r="H18" i="11"/>
  <c r="H13" i="11"/>
  <c r="H12" i="11"/>
  <c r="H11" i="11"/>
  <c r="H10" i="11"/>
  <c r="H9" i="11"/>
  <c r="H8" i="11"/>
  <c r="H7" i="11"/>
  <c r="I5" i="11" l="1"/>
  <c r="I6" i="11" l="1"/>
  <c r="J5" i="11" l="1"/>
  <c r="K5" i="11" s="1"/>
  <c r="L5" i="11" s="1"/>
  <c r="M5" i="11" s="1"/>
  <c r="N5" i="11" s="1"/>
  <c r="O5" i="11" s="1"/>
  <c r="P5" i="11" s="1"/>
  <c r="P4" i="11" s="1"/>
  <c r="I4" i="11"/>
  <c r="Q5" i="11" l="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<sst xmlns="http://schemas.openxmlformats.org/spreadsheetml/2006/main" count="151" uniqueCount="107">
  <si>
    <t>Multifunctional Robot</t>
  </si>
  <si>
    <t>Group 5</t>
  </si>
  <si>
    <t>Project Start:</t>
  </si>
  <si>
    <t>John Pritchard</t>
  </si>
  <si>
    <t>Today:</t>
  </si>
  <si>
    <t>Display Week:</t>
  </si>
  <si>
    <t>TASK</t>
  </si>
  <si>
    <t>ASSIGNED
TO</t>
  </si>
  <si>
    <t>PROGRESS</t>
  </si>
  <si>
    <t>START</t>
  </si>
  <si>
    <t>END</t>
  </si>
  <si>
    <t>DAYS</t>
  </si>
  <si>
    <t>Project Proposal</t>
  </si>
  <si>
    <t>Customer Requirements</t>
  </si>
  <si>
    <t>ZB</t>
  </si>
  <si>
    <t>System Requirements</t>
  </si>
  <si>
    <t>Component Research</t>
  </si>
  <si>
    <t>SA</t>
  </si>
  <si>
    <t>Block Diagram</t>
  </si>
  <si>
    <t>JA</t>
  </si>
  <si>
    <t>Flowcharts</t>
  </si>
  <si>
    <t>JP</t>
  </si>
  <si>
    <t>P-Diagram</t>
  </si>
  <si>
    <t>Risk Assessment</t>
  </si>
  <si>
    <t>AK</t>
  </si>
  <si>
    <t>Verification Plan</t>
  </si>
  <si>
    <t>Ethical and Societal Impact</t>
  </si>
  <si>
    <t>TA</t>
  </si>
  <si>
    <t>Hardware Stage</t>
  </si>
  <si>
    <t>Choose Components</t>
  </si>
  <si>
    <t>SA/ZB</t>
  </si>
  <si>
    <t>Order Components</t>
  </si>
  <si>
    <t>Assemble AVR PCB</t>
  </si>
  <si>
    <t>Test PCB outputs</t>
  </si>
  <si>
    <t>Connect Motors</t>
  </si>
  <si>
    <t>Connect Bluetooth Modules</t>
  </si>
  <si>
    <t>Connect Sensors</t>
  </si>
  <si>
    <t>Connect Buzzer</t>
  </si>
  <si>
    <t>Connect Joystick</t>
  </si>
  <si>
    <t>ZB/JA</t>
  </si>
  <si>
    <t>Connect Power Switch</t>
  </si>
  <si>
    <t>Initial Platform Sketches</t>
  </si>
  <si>
    <t>Initial Controller Sketches</t>
  </si>
  <si>
    <t>3D Model Platform</t>
  </si>
  <si>
    <t>3D Print Platform</t>
  </si>
  <si>
    <t>3D Model Controller Shell</t>
  </si>
  <si>
    <t>3D Print Controller Shell</t>
  </si>
  <si>
    <t>Create Technical Drawings</t>
  </si>
  <si>
    <t>Software Stage</t>
  </si>
  <si>
    <t>Joystick Logic</t>
  </si>
  <si>
    <t>Motor control</t>
  </si>
  <si>
    <t>IR Sensor Logic</t>
  </si>
  <si>
    <t>Ultrasonic Interrupt Logic</t>
  </si>
  <si>
    <t>Battery Level Logic</t>
  </si>
  <si>
    <t>Bluetooth Communication</t>
  </si>
  <si>
    <t>JA/ZB</t>
  </si>
  <si>
    <t>Proteus Implementation</t>
  </si>
  <si>
    <t>SA/JP</t>
  </si>
  <si>
    <t>Final Code Iterations</t>
  </si>
  <si>
    <t>ALL</t>
  </si>
  <si>
    <t>Final Code Build</t>
  </si>
  <si>
    <t>Product Build</t>
  </si>
  <si>
    <t>Assemble Chassis</t>
  </si>
  <si>
    <t>Implement Software</t>
  </si>
  <si>
    <t>Fasten Components</t>
  </si>
  <si>
    <t>Cable Management</t>
  </si>
  <si>
    <t>Validation and Verification</t>
  </si>
  <si>
    <t>Motor Testing</t>
  </si>
  <si>
    <t>Motor Driver Testing</t>
  </si>
  <si>
    <t>JP/JA/ZB</t>
  </si>
  <si>
    <t>Joystick Testing</t>
  </si>
  <si>
    <t>Buzzer Testing</t>
  </si>
  <si>
    <t>IR Testing</t>
  </si>
  <si>
    <t>AK/SA</t>
  </si>
  <si>
    <t>Ultrasonic Testing</t>
  </si>
  <si>
    <t>JA/JP</t>
  </si>
  <si>
    <t>Bluetooth Testing</t>
  </si>
  <si>
    <t>Subsystem Testing</t>
  </si>
  <si>
    <t>JA/ZB/JP</t>
  </si>
  <si>
    <t>Record Test Videos</t>
  </si>
  <si>
    <t>Hardware Stress Testing</t>
  </si>
  <si>
    <t>Validate Automatic Mode</t>
  </si>
  <si>
    <t>Validate Manual Mode</t>
  </si>
  <si>
    <t>Validate Emergency Stop</t>
  </si>
  <si>
    <t>Suppporting Documentation</t>
  </si>
  <si>
    <t>Environmental Impact Doc.</t>
  </si>
  <si>
    <t xml:space="preserve">Accessibility Doc. </t>
  </si>
  <si>
    <t>Health and Safety Doc.</t>
  </si>
  <si>
    <t>Responsible Eng. Doc.</t>
  </si>
  <si>
    <t>Testing Tables</t>
  </si>
  <si>
    <t>ZB/JP</t>
  </si>
  <si>
    <t xml:space="preserve">Project Summary document </t>
  </si>
  <si>
    <t>Insert new rows ABOVE this one</t>
  </si>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</sst>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ddd\,\ m/d/yyyy"/>
    <numFmt numFmtId="166" formatCode="mmm\ d\,\ yyyy"/>
    <numFmt numFmtId="167" formatCode="d"/>
  </numFmts>
  <fonts count="3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
      <sz val="11"/>
      <color rgb="FF000000"/>
      <name val="Calibri"/>
      <scheme val="minor"/>
    </font>
  </fonts>
  <fills count="22">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F2DCDB"/>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DAEEF3"/>
        <bgColor indexed="64"/>
      </patternFill>
    </fill>
    <fill>
      <patternFill patternType="solid">
        <fgColor rgb="FF595959"/>
        <bgColor indexed="6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cellStyleXfs>
  <cellXfs count="11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9" fillId="0" borderId="0" xfId="0" applyFont="1" applyAlignment="1">
      <alignment vertical="center"/>
    </xf>
    <xf numFmtId="0" fontId="11" fillId="0" borderId="0" xfId="0" applyFont="1"/>
    <xf numFmtId="0" fontId="7" fillId="15" borderId="1" xfId="0" applyFont="1" applyFill="1" applyBorder="1" applyAlignment="1">
      <alignment horizontal="left" vertical="center" indent="1"/>
    </xf>
    <xf numFmtId="0" fontId="7" fillId="15" borderId="1" xfId="0" applyFont="1" applyFill="1" applyBorder="1" applyAlignment="1">
      <alignment horizontal="center" vertical="center" wrapText="1"/>
    </xf>
    <xf numFmtId="167" fontId="12" fillId="8" borderId="0" xfId="0" applyNumberFormat="1" applyFont="1" applyFill="1" applyAlignment="1">
      <alignment horizontal="center" vertical="center"/>
    </xf>
    <xf numFmtId="167" fontId="12" fillId="8" borderId="8" xfId="0" applyNumberFormat="1" applyFont="1" applyFill="1" applyBorder="1" applyAlignment="1">
      <alignment horizontal="center" vertical="center"/>
    </xf>
    <xf numFmtId="167" fontId="12" fillId="8" borderId="9" xfId="0" applyNumberFormat="1" applyFont="1" applyFill="1" applyBorder="1" applyAlignment="1">
      <alignment horizontal="center" vertical="center"/>
    </xf>
    <xf numFmtId="0" fontId="15" fillId="14" borderId="10" xfId="0" applyFont="1" applyFill="1" applyBorder="1" applyAlignment="1">
      <alignment horizontal="center" vertical="center" shrinkToFit="1"/>
    </xf>
    <xf numFmtId="0" fontId="16" fillId="0" borderId="0" xfId="0" applyFont="1" applyAlignment="1">
      <alignment horizontal="left"/>
    </xf>
    <xf numFmtId="0" fontId="17" fillId="0" borderId="0" xfId="0" applyFont="1"/>
    <xf numFmtId="0" fontId="18" fillId="0" borderId="0" xfId="1" applyFont="1" applyAlignment="1" applyProtection="1"/>
    <xf numFmtId="0" fontId="19"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5" fillId="0" borderId="2" xfId="2" applyFont="1" applyFill="1" applyBorder="1" applyAlignment="1">
      <alignment horizontal="center" vertical="center"/>
    </xf>
    <xf numFmtId="164" fontId="0" fillId="0" borderId="2" xfId="0" applyNumberForma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6" fillId="9" borderId="2" xfId="0" applyFont="1" applyFill="1" applyBorder="1" applyAlignment="1">
      <alignment horizontal="left" vertical="center" indent="1"/>
    </xf>
    <xf numFmtId="0" fontId="6" fillId="9" borderId="2" xfId="0" applyFont="1" applyFill="1" applyBorder="1" applyAlignment="1">
      <alignment horizontal="center" vertical="center"/>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0" fontId="0" fillId="3" borderId="2" xfId="0" applyFill="1" applyBorder="1" applyAlignment="1">
      <alignment horizontal="left" vertical="center" indent="2"/>
    </xf>
    <xf numFmtId="0" fontId="0" fillId="3" borderId="2" xfId="0" applyFill="1" applyBorder="1" applyAlignment="1">
      <alignment horizontal="center" vertical="center"/>
    </xf>
    <xf numFmtId="9" fontId="5" fillId="3" borderId="2" xfId="2" applyFont="1" applyFill="1" applyBorder="1" applyAlignment="1">
      <alignment horizontal="center" vertical="center"/>
    </xf>
    <xf numFmtId="164" fontId="0" fillId="3" borderId="2" xfId="0" applyNumberFormat="1" applyFill="1" applyBorder="1" applyAlignment="1">
      <alignment horizontal="center" vertical="center"/>
    </xf>
    <xf numFmtId="164" fontId="5" fillId="3" borderId="2" xfId="0" applyNumberFormat="1" applyFont="1" applyFill="1" applyBorder="1" applyAlignment="1">
      <alignment horizontal="center" vertical="center"/>
    </xf>
    <xf numFmtId="0" fontId="6" fillId="10" borderId="2" xfId="0" applyFont="1" applyFill="1" applyBorder="1" applyAlignment="1">
      <alignment horizontal="left" vertical="center" indent="1"/>
    </xf>
    <xf numFmtId="0" fontId="6" fillId="10" borderId="2" xfId="0" applyFont="1" applyFill="1" applyBorder="1" applyAlignment="1">
      <alignment horizontal="center" vertical="center"/>
    </xf>
    <xf numFmtId="9" fontId="5" fillId="10" borderId="2" xfId="2" applyFont="1" applyFill="1" applyBorder="1" applyAlignment="1">
      <alignment horizontal="center" vertical="center"/>
    </xf>
    <xf numFmtId="164" fontId="0" fillId="10" borderId="2" xfId="0" applyNumberFormat="1" applyFill="1" applyBorder="1" applyAlignment="1">
      <alignment horizontal="center" vertical="center"/>
    </xf>
    <xf numFmtId="164" fontId="5" fillId="10" borderId="2" xfId="0" applyNumberFormat="1" applyFont="1" applyFill="1" applyBorder="1" applyAlignment="1">
      <alignment horizontal="center" vertical="center"/>
    </xf>
    <xf numFmtId="0" fontId="0" fillId="4" borderId="2" xfId="0" applyFill="1" applyBorder="1" applyAlignment="1">
      <alignment horizontal="left" vertical="center" indent="2"/>
    </xf>
    <xf numFmtId="0" fontId="0" fillId="4" borderId="2" xfId="0" applyFill="1" applyBorder="1" applyAlignment="1">
      <alignment horizontal="center" vertical="center"/>
    </xf>
    <xf numFmtId="9" fontId="5" fillId="4" borderId="2" xfId="2" applyFont="1" applyFill="1" applyBorder="1" applyAlignment="1">
      <alignment horizontal="center" vertical="center"/>
    </xf>
    <xf numFmtId="164" fontId="0" fillId="4" borderId="2" xfId="0" applyNumberFormat="1" applyFill="1" applyBorder="1" applyAlignment="1">
      <alignment horizontal="center" vertical="center"/>
    </xf>
    <xf numFmtId="164" fontId="5" fillId="4" borderId="2" xfId="0" applyNumberFormat="1" applyFont="1" applyFill="1" applyBorder="1" applyAlignment="1">
      <alignment horizontal="center" vertical="center"/>
    </xf>
    <xf numFmtId="0" fontId="6" fillId="6" borderId="2" xfId="0" applyFont="1" applyFill="1" applyBorder="1" applyAlignment="1">
      <alignment horizontal="left" vertical="center" indent="1"/>
    </xf>
    <xf numFmtId="0" fontId="0" fillId="13" borderId="2" xfId="0" applyFill="1" applyBorder="1" applyAlignment="1">
      <alignment horizontal="left" vertical="center" indent="2"/>
    </xf>
    <xf numFmtId="0" fontId="0" fillId="13" borderId="2" xfId="0" applyFill="1" applyBorder="1" applyAlignment="1">
      <alignment horizontal="center" vertical="center"/>
    </xf>
    <xf numFmtId="9" fontId="5" fillId="13" borderId="2" xfId="2" applyFont="1" applyFill="1" applyBorder="1" applyAlignment="1">
      <alignment horizontal="center" vertical="center"/>
    </xf>
    <xf numFmtId="164" fontId="0" fillId="13" borderId="2" xfId="0" applyNumberFormat="1" applyFill="1" applyBorder="1" applyAlignment="1">
      <alignment horizontal="center" vertical="center"/>
    </xf>
    <xf numFmtId="164" fontId="5" fillId="13" borderId="2" xfId="0" applyNumberFormat="1" applyFont="1" applyFill="1" applyBorder="1" applyAlignment="1">
      <alignment horizontal="center" vertical="center"/>
    </xf>
    <xf numFmtId="0" fontId="6" fillId="5" borderId="2" xfId="0" applyFont="1" applyFill="1" applyBorder="1" applyAlignment="1">
      <alignment horizontal="left" vertical="center" indent="1"/>
    </xf>
    <xf numFmtId="0" fontId="0" fillId="11" borderId="2" xfId="0" applyFill="1" applyBorder="1" applyAlignment="1">
      <alignment horizontal="left" vertical="center" indent="2"/>
    </xf>
    <xf numFmtId="0" fontId="0" fillId="11" borderId="2" xfId="0" applyFill="1" applyBorder="1" applyAlignment="1">
      <alignment horizontal="center" vertical="center"/>
    </xf>
    <xf numFmtId="9" fontId="5" fillId="11" borderId="2" xfId="2" applyFont="1" applyFill="1" applyBorder="1" applyAlignment="1">
      <alignment horizontal="center" vertical="center"/>
    </xf>
    <xf numFmtId="164" fontId="0" fillId="11" borderId="2" xfId="0" applyNumberFormat="1" applyFill="1" applyBorder="1" applyAlignment="1">
      <alignment horizontal="center" vertical="center"/>
    </xf>
    <xf numFmtId="0" fontId="6" fillId="7" borderId="2" xfId="0" applyFont="1" applyFill="1" applyBorder="1" applyAlignment="1">
      <alignment horizontal="left" vertical="center" indent="1"/>
    </xf>
    <xf numFmtId="0" fontId="0" fillId="12" borderId="2" xfId="0" applyFill="1" applyBorder="1" applyAlignment="1">
      <alignment horizontal="left" vertical="center" indent="2"/>
    </xf>
    <xf numFmtId="0" fontId="0" fillId="12" borderId="2" xfId="0"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2" borderId="11" xfId="0" applyFill="1" applyBorder="1" applyAlignment="1">
      <alignment vertical="center"/>
    </xf>
    <xf numFmtId="0" fontId="2" fillId="0" borderId="0" xfId="0" applyFont="1" applyAlignment="1">
      <alignment vertical="top"/>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 fillId="0" borderId="0" xfId="0" applyFont="1" applyAlignment="1">
      <alignment horizontal="left" vertical="center"/>
    </xf>
    <xf numFmtId="0" fontId="23" fillId="0" borderId="0" xfId="0" applyFont="1"/>
    <xf numFmtId="0" fontId="24" fillId="0" borderId="0" xfId="0" applyFont="1" applyAlignment="1">
      <alignment vertical="top" wrapText="1"/>
    </xf>
    <xf numFmtId="0" fontId="25" fillId="0" borderId="0" xfId="0" applyFont="1" applyAlignment="1">
      <alignment vertical="center"/>
    </xf>
    <xf numFmtId="0" fontId="24" fillId="0" borderId="0" xfId="0" applyFont="1" applyAlignment="1">
      <alignment horizontal="left" vertical="top" wrapText="1" indent="1"/>
    </xf>
    <xf numFmtId="0" fontId="3" fillId="0" borderId="0" xfId="1" applyAlignment="1" applyProtection="1">
      <alignment horizontal="left" indent="1"/>
    </xf>
    <xf numFmtId="14" fontId="26" fillId="0" borderId="0" xfId="0" applyNumberFormat="1" applyFont="1" applyAlignment="1">
      <alignment horizontal="center"/>
    </xf>
    <xf numFmtId="0" fontId="2" fillId="0" borderId="0" xfId="0" applyFont="1" applyAlignment="1">
      <alignment horizontal="right" vertical="center"/>
    </xf>
    <xf numFmtId="0" fontId="27" fillId="0" borderId="0" xfId="0" applyFont="1" applyAlignment="1">
      <alignment vertical="top"/>
    </xf>
    <xf numFmtId="0" fontId="28" fillId="0" borderId="0" xfId="0" applyFont="1"/>
    <xf numFmtId="0" fontId="28" fillId="0" borderId="0" xfId="1" applyFont="1" applyAlignment="1" applyProtection="1"/>
    <xf numFmtId="0" fontId="3" fillId="0" borderId="0" xfId="1" applyFill="1" applyAlignment="1" applyProtection="1">
      <alignment horizontal="left" indent="1"/>
    </xf>
    <xf numFmtId="164" fontId="0" fillId="16" borderId="2" xfId="0" applyNumberFormat="1" applyFill="1" applyBorder="1" applyAlignment="1">
      <alignment horizontal="center" vertical="center"/>
    </xf>
    <xf numFmtId="164" fontId="5" fillId="16" borderId="2" xfId="0" applyNumberFormat="1" applyFont="1" applyFill="1" applyBorder="1" applyAlignment="1">
      <alignment horizontal="center" vertical="center"/>
    </xf>
    <xf numFmtId="0" fontId="0" fillId="17" borderId="2" xfId="0" applyFill="1" applyBorder="1" applyAlignment="1">
      <alignment horizontal="center" vertical="center"/>
    </xf>
    <xf numFmtId="9" fontId="5" fillId="17" borderId="2" xfId="2" applyFont="1" applyFill="1" applyBorder="1" applyAlignment="1">
      <alignment horizontal="center" vertical="center"/>
    </xf>
    <xf numFmtId="164" fontId="0" fillId="17" borderId="2" xfId="0" applyNumberFormat="1" applyFill="1" applyBorder="1" applyAlignment="1">
      <alignment horizontal="center" vertical="center"/>
    </xf>
    <xf numFmtId="164" fontId="5" fillId="17" borderId="2" xfId="0" applyNumberFormat="1" applyFont="1" applyFill="1" applyBorder="1" applyAlignment="1">
      <alignment horizontal="center" vertical="center"/>
    </xf>
    <xf numFmtId="0" fontId="0" fillId="18" borderId="2" xfId="0" applyFill="1" applyBorder="1" applyAlignment="1">
      <alignment horizontal="center" vertical="center"/>
    </xf>
    <xf numFmtId="9" fontId="5" fillId="18" borderId="2" xfId="2" applyFont="1" applyFill="1" applyBorder="1" applyAlignment="1">
      <alignment horizontal="center" vertical="center"/>
    </xf>
    <xf numFmtId="164" fontId="0" fillId="18" borderId="2" xfId="0" applyNumberFormat="1" applyFill="1" applyBorder="1" applyAlignment="1">
      <alignment horizontal="center" vertical="center"/>
    </xf>
    <xf numFmtId="0" fontId="0" fillId="19" borderId="2" xfId="0" applyFill="1" applyBorder="1" applyAlignment="1">
      <alignment horizontal="center" vertical="center"/>
    </xf>
    <xf numFmtId="9" fontId="5" fillId="19" borderId="2" xfId="2" applyFont="1" applyFill="1" applyBorder="1" applyAlignment="1">
      <alignment horizontal="center" vertical="center"/>
    </xf>
    <xf numFmtId="164" fontId="0" fillId="19" borderId="2" xfId="0" applyNumberFormat="1" applyFill="1" applyBorder="1" applyAlignment="1">
      <alignment horizontal="center" vertical="center"/>
    </xf>
    <xf numFmtId="164" fontId="5" fillId="19" borderId="2" xfId="0" applyNumberFormat="1" applyFont="1" applyFill="1" applyBorder="1" applyAlignment="1">
      <alignment horizontal="center" vertical="center"/>
    </xf>
    <xf numFmtId="0" fontId="0" fillId="20" borderId="2" xfId="0" applyFill="1" applyBorder="1" applyAlignment="1">
      <alignment horizontal="center" vertical="center"/>
    </xf>
    <xf numFmtId="9" fontId="5" fillId="20" borderId="2" xfId="2" applyFont="1" applyFill="1" applyBorder="1" applyAlignment="1">
      <alignment horizontal="center" vertical="center"/>
    </xf>
    <xf numFmtId="164" fontId="0" fillId="20" borderId="2" xfId="0" applyNumberFormat="1" applyFill="1" applyBorder="1" applyAlignment="1">
      <alignment horizontal="center" vertical="center"/>
    </xf>
    <xf numFmtId="164" fontId="5" fillId="20" borderId="2" xfId="0" applyNumberFormat="1" applyFont="1" applyFill="1" applyBorder="1" applyAlignment="1">
      <alignment horizontal="center" vertical="center"/>
    </xf>
    <xf numFmtId="0" fontId="15" fillId="21" borderId="10" xfId="0" applyFont="1" applyFill="1" applyBorder="1" applyAlignment="1">
      <alignment horizontal="center" vertical="center" shrinkToFit="1"/>
    </xf>
    <xf numFmtId="0" fontId="0" fillId="6" borderId="2" xfId="0" applyFill="1" applyBorder="1" applyAlignment="1">
      <alignment horizontal="center" vertical="center"/>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0" fontId="30" fillId="16" borderId="2" xfId="0" applyFont="1" applyFill="1" applyBorder="1" applyAlignment="1">
      <alignment horizontal="center" vertical="center"/>
    </xf>
    <xf numFmtId="165" fontId="0" fillId="0" borderId="4" xfId="0" applyNumberFormat="1" applyBorder="1" applyAlignment="1">
      <alignment horizontal="center" vertical="center"/>
    </xf>
    <xf numFmtId="165" fontId="0" fillId="0" borderId="5" xfId="0" applyNumberFormat="1" applyBorder="1" applyAlignment="1">
      <alignment horizontal="center" vertical="center"/>
    </xf>
    <xf numFmtId="166" fontId="0" fillId="8" borderId="6" xfId="0" applyNumberFormat="1" applyFill="1" applyBorder="1" applyAlignment="1">
      <alignment horizontal="left" vertical="center" wrapText="1" indent="1"/>
    </xf>
    <xf numFmtId="166" fontId="0" fillId="8" borderId="1" xfId="0" applyNumberFormat="1" applyFill="1" applyBorder="1" applyAlignment="1">
      <alignment horizontal="left" vertical="center" wrapText="1" indent="1"/>
    </xf>
    <xf numFmtId="166" fontId="0" fillId="8" borderId="7" xfId="0" applyNumberFormat="1" applyFill="1" applyBorder="1" applyAlignment="1">
      <alignment horizontal="left" vertical="center" wrapText="1" indent="1"/>
    </xf>
    <xf numFmtId="0" fontId="29" fillId="0" borderId="0" xfId="1" applyFont="1" applyAlignment="1" applyProtection="1">
      <alignment horizontal="left" vertical="center"/>
    </xf>
  </cellXfs>
  <cellStyles count="3">
    <cellStyle name="Hyperlink" xfId="1" builtinId="8" customBuiltin="1"/>
    <cellStyle name="Normal" xfId="0" builtinId="0"/>
    <cellStyle name="Percent" xfId="2" builtinId="5"/>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7ECC54"/>
      <color rgb="FFDAEEF3"/>
      <color rgb="FF595959"/>
      <color rgb="FFB7DEE8"/>
      <color rgb="FFE4DFEC"/>
      <color rgb="FFCCC0DA"/>
      <color rgb="FFEBF1DE"/>
      <color rgb="FFD8E4BC"/>
      <color rgb="FFF2DCDB"/>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77"/>
  <sheetViews>
    <sheetView showGridLines="0" tabSelected="1" showRuler="0" zoomScaleNormal="100" zoomScalePageLayoutView="70" workbookViewId="0">
      <pane xSplit="2" ySplit="4" topLeftCell="C62" activePane="bottomRight" state="frozen"/>
      <selection pane="bottomRight" activeCell="F75" sqref="F75"/>
      <selection pane="bottomLeft" activeCell="A7" sqref="A7"/>
      <selection pane="topRight" activeCell="C1" sqref="C1"/>
    </sheetView>
  </sheetViews>
  <sheetFormatPr defaultRowHeight="14.25"/>
  <cols>
    <col min="1" max="1" width="2.7109375" customWidth="1"/>
    <col min="2" max="2" width="27.5703125" customWidth="1"/>
    <col min="3" max="3" width="9.14062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28.5">
      <c r="B1" s="16" t="s">
        <v>0</v>
      </c>
      <c r="C1" s="1"/>
      <c r="D1" s="2"/>
      <c r="E1" s="4"/>
      <c r="F1" s="80"/>
      <c r="H1" s="2"/>
      <c r="I1" s="8"/>
      <c r="J1" s="113" t="str">
        <f>HYPERLINK("https://vertex42.link/HowToMakeAGanttChart","► Watch How to Make a Gantt Chart in Excel")</f>
        <v>► Watch How to Make a Gantt Chart in Excel</v>
      </c>
      <c r="K1" s="113"/>
      <c r="L1" s="113"/>
      <c r="M1" s="113"/>
      <c r="N1" s="113"/>
      <c r="O1" s="113"/>
      <c r="P1" s="113"/>
      <c r="Q1" s="113"/>
      <c r="R1" s="113"/>
      <c r="S1" s="113"/>
      <c r="T1" s="113"/>
      <c r="U1" s="113"/>
      <c r="V1" s="113"/>
      <c r="W1" s="113"/>
      <c r="X1" s="113"/>
      <c r="Y1" s="113"/>
      <c r="Z1" s="113"/>
      <c r="AA1" s="113"/>
    </row>
    <row r="2" spans="1:64" ht="19.5" customHeight="1">
      <c r="B2" s="9" t="s">
        <v>1</v>
      </c>
      <c r="D2" s="6" t="s">
        <v>2</v>
      </c>
      <c r="E2" s="108">
        <v>45980</v>
      </c>
      <c r="F2" s="109"/>
    </row>
    <row r="3" spans="1:64" ht="19.5" customHeight="1">
      <c r="B3" s="9" t="s">
        <v>3</v>
      </c>
      <c r="D3" s="6" t="s">
        <v>4</v>
      </c>
      <c r="E3" s="108">
        <v>46099</v>
      </c>
      <c r="F3" s="109"/>
    </row>
    <row r="4" spans="1:64" ht="19.5" customHeight="1">
      <c r="D4" s="6" t="s">
        <v>5</v>
      </c>
      <c r="E4" s="7">
        <v>15</v>
      </c>
      <c r="I4" s="110">
        <f>I5</f>
        <v>46076</v>
      </c>
      <c r="J4" s="111"/>
      <c r="K4" s="111"/>
      <c r="L4" s="111"/>
      <c r="M4" s="111"/>
      <c r="N4" s="111"/>
      <c r="O4" s="112"/>
      <c r="P4" s="110">
        <f>P5</f>
        <v>46083</v>
      </c>
      <c r="Q4" s="111"/>
      <c r="R4" s="111"/>
      <c r="S4" s="111"/>
      <c r="T4" s="111"/>
      <c r="U4" s="111"/>
      <c r="V4" s="112"/>
      <c r="W4" s="110">
        <f>W5</f>
        <v>46090</v>
      </c>
      <c r="X4" s="111"/>
      <c r="Y4" s="111"/>
      <c r="Z4" s="111"/>
      <c r="AA4" s="111"/>
      <c r="AB4" s="111"/>
      <c r="AC4" s="112"/>
      <c r="AD4" s="110">
        <f>AD5</f>
        <v>46097</v>
      </c>
      <c r="AE4" s="111"/>
      <c r="AF4" s="111"/>
      <c r="AG4" s="111"/>
      <c r="AH4" s="111"/>
      <c r="AI4" s="111"/>
      <c r="AJ4" s="112"/>
      <c r="AK4" s="110">
        <f>AK5</f>
        <v>46104</v>
      </c>
      <c r="AL4" s="111"/>
      <c r="AM4" s="111"/>
      <c r="AN4" s="111"/>
      <c r="AO4" s="111"/>
      <c r="AP4" s="111"/>
      <c r="AQ4" s="112"/>
      <c r="AR4" s="110">
        <f>AR5</f>
        <v>46111</v>
      </c>
      <c r="AS4" s="111"/>
      <c r="AT4" s="111"/>
      <c r="AU4" s="111"/>
      <c r="AV4" s="111"/>
      <c r="AW4" s="111"/>
      <c r="AX4" s="112"/>
      <c r="AY4" s="110">
        <f>AY5</f>
        <v>46118</v>
      </c>
      <c r="AZ4" s="111"/>
      <c r="BA4" s="111"/>
      <c r="BB4" s="111"/>
      <c r="BC4" s="111"/>
      <c r="BD4" s="111"/>
      <c r="BE4" s="112"/>
      <c r="BF4" s="110">
        <f>BF5</f>
        <v>46125</v>
      </c>
      <c r="BG4" s="111"/>
      <c r="BH4" s="111"/>
      <c r="BI4" s="111"/>
      <c r="BJ4" s="111"/>
      <c r="BK4" s="111"/>
      <c r="BL4" s="112"/>
    </row>
    <row r="5" spans="1:64">
      <c r="A5" s="6"/>
      <c r="G5" s="6"/>
      <c r="I5" s="13">
        <f>E2-WEEKDAY(E2,1)+2+7*(E4-1)</f>
        <v>46076</v>
      </c>
      <c r="J5" s="12">
        <f>I5+1</f>
        <v>46077</v>
      </c>
      <c r="K5" s="12">
        <f t="shared" ref="K5:AX5" si="0">J5+1</f>
        <v>46078</v>
      </c>
      <c r="L5" s="12">
        <f t="shared" si="0"/>
        <v>46079</v>
      </c>
      <c r="M5" s="12">
        <f t="shared" si="0"/>
        <v>46080</v>
      </c>
      <c r="N5" s="12">
        <f t="shared" si="0"/>
        <v>46081</v>
      </c>
      <c r="O5" s="14">
        <f t="shared" si="0"/>
        <v>46082</v>
      </c>
      <c r="P5" s="13">
        <f>O5+1</f>
        <v>46083</v>
      </c>
      <c r="Q5" s="12">
        <f>P5+1</f>
        <v>46084</v>
      </c>
      <c r="R5" s="12">
        <f t="shared" si="0"/>
        <v>46085</v>
      </c>
      <c r="S5" s="12">
        <f t="shared" si="0"/>
        <v>46086</v>
      </c>
      <c r="T5" s="12">
        <f t="shared" si="0"/>
        <v>46087</v>
      </c>
      <c r="U5" s="12">
        <f t="shared" si="0"/>
        <v>46088</v>
      </c>
      <c r="V5" s="14">
        <f t="shared" si="0"/>
        <v>46089</v>
      </c>
      <c r="W5" s="13">
        <f>V5+1</f>
        <v>46090</v>
      </c>
      <c r="X5" s="12">
        <f>W5+1</f>
        <v>46091</v>
      </c>
      <c r="Y5" s="12">
        <f t="shared" si="0"/>
        <v>46092</v>
      </c>
      <c r="Z5" s="12">
        <f t="shared" si="0"/>
        <v>46093</v>
      </c>
      <c r="AA5" s="12">
        <f t="shared" si="0"/>
        <v>46094</v>
      </c>
      <c r="AB5" s="12">
        <f t="shared" si="0"/>
        <v>46095</v>
      </c>
      <c r="AC5" s="14">
        <f t="shared" si="0"/>
        <v>46096</v>
      </c>
      <c r="AD5" s="13">
        <f>AC5+1</f>
        <v>46097</v>
      </c>
      <c r="AE5" s="12">
        <f>AD5+1</f>
        <v>46098</v>
      </c>
      <c r="AF5" s="12">
        <f t="shared" si="0"/>
        <v>46099</v>
      </c>
      <c r="AG5" s="12">
        <f t="shared" si="0"/>
        <v>46100</v>
      </c>
      <c r="AH5" s="12">
        <f t="shared" si="0"/>
        <v>46101</v>
      </c>
      <c r="AI5" s="12">
        <f t="shared" si="0"/>
        <v>46102</v>
      </c>
      <c r="AJ5" s="14">
        <f t="shared" si="0"/>
        <v>46103</v>
      </c>
      <c r="AK5" s="13">
        <f>AJ5+1</f>
        <v>46104</v>
      </c>
      <c r="AL5" s="12">
        <f>AK5+1</f>
        <v>46105</v>
      </c>
      <c r="AM5" s="12">
        <f t="shared" si="0"/>
        <v>46106</v>
      </c>
      <c r="AN5" s="12">
        <f t="shared" si="0"/>
        <v>46107</v>
      </c>
      <c r="AO5" s="12">
        <f t="shared" si="0"/>
        <v>46108</v>
      </c>
      <c r="AP5" s="12">
        <f t="shared" si="0"/>
        <v>46109</v>
      </c>
      <c r="AQ5" s="14">
        <f t="shared" si="0"/>
        <v>46110</v>
      </c>
      <c r="AR5" s="13">
        <f>AQ5+1</f>
        <v>46111</v>
      </c>
      <c r="AS5" s="12">
        <f>AR5+1</f>
        <v>46112</v>
      </c>
      <c r="AT5" s="12">
        <f t="shared" si="0"/>
        <v>46113</v>
      </c>
      <c r="AU5" s="12">
        <f t="shared" si="0"/>
        <v>46114</v>
      </c>
      <c r="AV5" s="12">
        <f t="shared" si="0"/>
        <v>46115</v>
      </c>
      <c r="AW5" s="12">
        <f t="shared" si="0"/>
        <v>46116</v>
      </c>
      <c r="AX5" s="14">
        <f t="shared" si="0"/>
        <v>46117</v>
      </c>
      <c r="AY5" s="13">
        <f>AX5+1</f>
        <v>46118</v>
      </c>
      <c r="AZ5" s="12">
        <f>AY5+1</f>
        <v>46119</v>
      </c>
      <c r="BA5" s="12">
        <f t="shared" ref="BA5:BE5" si="1">AZ5+1</f>
        <v>46120</v>
      </c>
      <c r="BB5" s="12">
        <f t="shared" si="1"/>
        <v>46121</v>
      </c>
      <c r="BC5" s="12">
        <f t="shared" si="1"/>
        <v>46122</v>
      </c>
      <c r="BD5" s="12">
        <f t="shared" si="1"/>
        <v>46123</v>
      </c>
      <c r="BE5" s="14">
        <f t="shared" si="1"/>
        <v>46124</v>
      </c>
      <c r="BF5" s="13">
        <f>BE5+1</f>
        <v>46125</v>
      </c>
      <c r="BG5" s="12">
        <f>BF5+1</f>
        <v>46126</v>
      </c>
      <c r="BH5" s="12">
        <f t="shared" ref="BH5:BL5" si="2">BG5+1</f>
        <v>46127</v>
      </c>
      <c r="BI5" s="12">
        <f t="shared" si="2"/>
        <v>46128</v>
      </c>
      <c r="BJ5" s="12">
        <f t="shared" si="2"/>
        <v>46129</v>
      </c>
      <c r="BK5" s="12">
        <f t="shared" si="2"/>
        <v>46130</v>
      </c>
      <c r="BL5" s="14">
        <f t="shared" si="2"/>
        <v>46131</v>
      </c>
    </row>
    <row r="6" spans="1:64" ht="29.25" customHeight="1">
      <c r="A6" s="19"/>
      <c r="B6" s="10" t="s">
        <v>6</v>
      </c>
      <c r="C6" s="11" t="s">
        <v>7</v>
      </c>
      <c r="D6" s="11" t="s">
        <v>8</v>
      </c>
      <c r="E6" s="11" t="s">
        <v>9</v>
      </c>
      <c r="F6" s="11" t="s">
        <v>10</v>
      </c>
      <c r="G6" s="11"/>
      <c r="H6" s="11" t="s">
        <v>11</v>
      </c>
      <c r="I6" s="15" t="str">
        <f t="shared" ref="I6" si="3">LEFT(TEXT(I5,"ddd"),1)</f>
        <v>M</v>
      </c>
      <c r="J6" s="15" t="str">
        <f t="shared" ref="J6:AR6" si="4">LEFT(TEXT(J5,"ddd"),1)</f>
        <v>T</v>
      </c>
      <c r="K6" s="15" t="str">
        <f t="shared" si="4"/>
        <v>W</v>
      </c>
      <c r="L6" s="15" t="str">
        <f t="shared" si="4"/>
        <v>T</v>
      </c>
      <c r="M6" s="15" t="str">
        <f t="shared" si="4"/>
        <v>F</v>
      </c>
      <c r="N6" s="15" t="str">
        <f t="shared" si="4"/>
        <v>S</v>
      </c>
      <c r="O6" s="15" t="str">
        <f t="shared" si="4"/>
        <v>S</v>
      </c>
      <c r="P6" s="15" t="str">
        <f t="shared" si="4"/>
        <v>M</v>
      </c>
      <c r="Q6" s="15" t="str">
        <f t="shared" si="4"/>
        <v>T</v>
      </c>
      <c r="R6" s="15" t="str">
        <f t="shared" si="4"/>
        <v>W</v>
      </c>
      <c r="S6" s="15" t="str">
        <f t="shared" si="4"/>
        <v>T</v>
      </c>
      <c r="T6" s="15" t="str">
        <f t="shared" si="4"/>
        <v>F</v>
      </c>
      <c r="U6" s="15" t="str">
        <f t="shared" si="4"/>
        <v>S</v>
      </c>
      <c r="V6" s="15" t="str">
        <f t="shared" si="4"/>
        <v>S</v>
      </c>
      <c r="W6" s="102" t="str">
        <f t="shared" si="4"/>
        <v>M</v>
      </c>
      <c r="X6" s="15" t="str">
        <f t="shared" si="4"/>
        <v>T</v>
      </c>
      <c r="Y6" s="15" t="str">
        <f t="shared" si="4"/>
        <v>W</v>
      </c>
      <c r="Z6" s="15" t="str">
        <f t="shared" si="4"/>
        <v>T</v>
      </c>
      <c r="AA6" s="15" t="str">
        <f t="shared" si="4"/>
        <v>F</v>
      </c>
      <c r="AB6" s="15" t="str">
        <f t="shared" si="4"/>
        <v>S</v>
      </c>
      <c r="AC6" s="15" t="str">
        <f t="shared" si="4"/>
        <v>S</v>
      </c>
      <c r="AD6" s="15" t="str">
        <f t="shared" si="4"/>
        <v>M</v>
      </c>
      <c r="AE6" s="15" t="str">
        <f t="shared" si="4"/>
        <v>T</v>
      </c>
      <c r="AF6" s="15" t="str">
        <f t="shared" si="4"/>
        <v>W</v>
      </c>
      <c r="AG6" s="15" t="str">
        <f t="shared" si="4"/>
        <v>T</v>
      </c>
      <c r="AH6" s="15" t="str">
        <f t="shared" si="4"/>
        <v>F</v>
      </c>
      <c r="AI6" s="15" t="str">
        <f t="shared" si="4"/>
        <v>S</v>
      </c>
      <c r="AJ6" s="15" t="str">
        <f t="shared" si="4"/>
        <v>S</v>
      </c>
      <c r="AK6" s="15" t="str">
        <f t="shared" si="4"/>
        <v>M</v>
      </c>
      <c r="AL6" s="15" t="str">
        <f t="shared" si="4"/>
        <v>T</v>
      </c>
      <c r="AM6" s="15" t="str">
        <f t="shared" si="4"/>
        <v>W</v>
      </c>
      <c r="AN6" s="15" t="str">
        <f t="shared" si="4"/>
        <v>T</v>
      </c>
      <c r="AO6" s="15" t="str">
        <f t="shared" si="4"/>
        <v>F</v>
      </c>
      <c r="AP6" s="15" t="str">
        <f t="shared" si="4"/>
        <v>S</v>
      </c>
      <c r="AQ6" s="15" t="str">
        <f t="shared" si="4"/>
        <v>S</v>
      </c>
      <c r="AR6" s="15" t="str">
        <f t="shared" si="4"/>
        <v>M</v>
      </c>
      <c r="AS6" s="15" t="str">
        <f t="shared" ref="AS6:BL6" si="5">LEFT(TEXT(AS5,"ddd"),1)</f>
        <v>T</v>
      </c>
      <c r="AT6" s="15" t="str">
        <f t="shared" si="5"/>
        <v>W</v>
      </c>
      <c r="AU6" s="15" t="str">
        <f t="shared" si="5"/>
        <v>T</v>
      </c>
      <c r="AV6" s="15" t="str">
        <f t="shared" si="5"/>
        <v>F</v>
      </c>
      <c r="AW6" s="15" t="str">
        <f t="shared" si="5"/>
        <v>S</v>
      </c>
      <c r="AX6" s="15" t="str">
        <f t="shared" si="5"/>
        <v>S</v>
      </c>
      <c r="AY6" s="15" t="str">
        <f t="shared" si="5"/>
        <v>M</v>
      </c>
      <c r="AZ6" s="15" t="str">
        <f t="shared" si="5"/>
        <v>T</v>
      </c>
      <c r="BA6" s="15" t="str">
        <f t="shared" si="5"/>
        <v>W</v>
      </c>
      <c r="BB6" s="15" t="str">
        <f t="shared" si="5"/>
        <v>T</v>
      </c>
      <c r="BC6" s="15" t="str">
        <f t="shared" si="5"/>
        <v>F</v>
      </c>
      <c r="BD6" s="15" t="str">
        <f t="shared" si="5"/>
        <v>S</v>
      </c>
      <c r="BE6" s="15" t="str">
        <f t="shared" si="5"/>
        <v>S</v>
      </c>
      <c r="BF6" s="15" t="str">
        <f t="shared" si="5"/>
        <v>M</v>
      </c>
      <c r="BG6" s="15" t="str">
        <f t="shared" si="5"/>
        <v>T</v>
      </c>
      <c r="BH6" s="15" t="str">
        <f t="shared" si="5"/>
        <v>W</v>
      </c>
      <c r="BI6" s="15" t="str">
        <f t="shared" si="5"/>
        <v>T</v>
      </c>
      <c r="BJ6" s="15" t="str">
        <f t="shared" si="5"/>
        <v>F</v>
      </c>
      <c r="BK6" s="15" t="str">
        <f t="shared" si="5"/>
        <v>S</v>
      </c>
      <c r="BL6" s="15" t="str">
        <f t="shared" si="5"/>
        <v>S</v>
      </c>
    </row>
    <row r="7" spans="1:64" s="3" customFormat="1" ht="21.4" thickBot="1">
      <c r="A7" s="19"/>
      <c r="B7" s="20"/>
      <c r="C7" s="21"/>
      <c r="D7" s="22"/>
      <c r="E7" s="23"/>
      <c r="F7" s="24"/>
      <c r="G7" s="25"/>
      <c r="H7" s="25" t="str">
        <f t="shared" ref="H7:H71" ca="1" si="6">IF(OR(ISBLANK(task_start),ISBLANK(task_end)),"",task_end-task_start+1)</f>
        <v/>
      </c>
      <c r="I7" s="66"/>
      <c r="J7" s="66"/>
      <c r="K7" s="66"/>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row>
    <row r="8" spans="1:64" s="3" customFormat="1" ht="21">
      <c r="A8" s="19"/>
      <c r="B8" s="26" t="s">
        <v>12</v>
      </c>
      <c r="C8" s="27"/>
      <c r="D8" s="28"/>
      <c r="E8" s="29"/>
      <c r="F8" s="30"/>
      <c r="G8" s="25"/>
      <c r="H8" s="25" t="str">
        <f t="shared" ca="1" si="6"/>
        <v/>
      </c>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row>
    <row r="9" spans="1:64" s="3" customFormat="1" ht="21">
      <c r="A9" s="19"/>
      <c r="B9" s="31" t="s">
        <v>13</v>
      </c>
      <c r="C9" s="32" t="s">
        <v>14</v>
      </c>
      <c r="D9" s="33">
        <v>1</v>
      </c>
      <c r="E9" s="34">
        <v>45980</v>
      </c>
      <c r="F9" s="35">
        <v>45981</v>
      </c>
      <c r="G9" s="25"/>
      <c r="H9" s="25">
        <f t="shared" ca="1" si="6"/>
        <v>2</v>
      </c>
      <c r="I9" s="66"/>
      <c r="J9" s="66"/>
      <c r="K9" s="66"/>
      <c r="L9" s="66"/>
      <c r="M9" s="66"/>
      <c r="N9" s="66"/>
      <c r="O9" s="66"/>
      <c r="P9" s="66"/>
      <c r="Q9" s="66"/>
      <c r="R9" s="66"/>
      <c r="S9" s="66"/>
      <c r="T9" s="66"/>
      <c r="U9" s="66"/>
      <c r="V9" s="66"/>
      <c r="W9" s="66"/>
      <c r="X9" s="66"/>
      <c r="Y9" s="66"/>
      <c r="Z9" s="66"/>
      <c r="AA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row>
    <row r="10" spans="1:64" s="3" customFormat="1" ht="21">
      <c r="A10" s="19"/>
      <c r="B10" s="31" t="s">
        <v>15</v>
      </c>
      <c r="C10" s="32" t="s">
        <v>14</v>
      </c>
      <c r="D10" s="33">
        <v>1</v>
      </c>
      <c r="E10" s="34">
        <v>45980</v>
      </c>
      <c r="F10" s="35">
        <v>45981</v>
      </c>
      <c r="G10" s="25"/>
      <c r="H10" s="25">
        <f t="shared" ca="1" si="6"/>
        <v>2</v>
      </c>
      <c r="I10" s="66"/>
      <c r="J10" s="66"/>
      <c r="K10" s="66"/>
      <c r="L10" s="66"/>
      <c r="M10" s="66"/>
      <c r="N10" s="66"/>
      <c r="O10" s="66"/>
      <c r="P10" s="66"/>
      <c r="Q10" s="66"/>
      <c r="R10" s="66"/>
      <c r="S10" s="66"/>
      <c r="T10" s="66"/>
      <c r="U10" s="67"/>
      <c r="V10" s="67"/>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row>
    <row r="11" spans="1:64" s="3" customFormat="1" ht="21">
      <c r="A11" s="19"/>
      <c r="B11" s="31" t="s">
        <v>16</v>
      </c>
      <c r="C11" s="32" t="s">
        <v>17</v>
      </c>
      <c r="D11" s="33">
        <v>1</v>
      </c>
      <c r="E11" s="34">
        <v>45983</v>
      </c>
      <c r="F11" s="35">
        <v>46003</v>
      </c>
      <c r="G11" s="25"/>
      <c r="H11" s="25">
        <f t="shared" ca="1" si="6"/>
        <v>21</v>
      </c>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row>
    <row r="12" spans="1:64" s="3" customFormat="1" ht="21.4" thickBot="1">
      <c r="A12" s="19"/>
      <c r="B12" s="31" t="s">
        <v>18</v>
      </c>
      <c r="C12" s="32" t="s">
        <v>19</v>
      </c>
      <c r="D12" s="33">
        <v>1</v>
      </c>
      <c r="E12" s="34">
        <v>45982</v>
      </c>
      <c r="F12" s="35">
        <v>45991</v>
      </c>
      <c r="G12" s="25"/>
      <c r="H12" s="25">
        <f t="shared" ca="1" si="6"/>
        <v>10</v>
      </c>
      <c r="I12" s="66"/>
      <c r="J12" s="66"/>
      <c r="K12" s="66"/>
      <c r="L12" s="66"/>
      <c r="M12" s="66"/>
      <c r="N12" s="66"/>
      <c r="O12" s="66"/>
      <c r="P12" s="66"/>
      <c r="Q12" s="66"/>
      <c r="R12" s="66"/>
      <c r="S12" s="66"/>
      <c r="T12" s="66"/>
      <c r="U12" s="66"/>
      <c r="V12" s="66"/>
      <c r="W12" s="66"/>
      <c r="X12" s="66"/>
      <c r="Y12" s="67"/>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row>
    <row r="13" spans="1:64" s="3" customFormat="1" ht="21.4" thickBot="1">
      <c r="A13" s="19"/>
      <c r="B13" s="31" t="s">
        <v>20</v>
      </c>
      <c r="C13" s="32" t="s">
        <v>21</v>
      </c>
      <c r="D13" s="33">
        <v>1</v>
      </c>
      <c r="E13" s="34">
        <v>45982</v>
      </c>
      <c r="F13" s="35">
        <v>45982</v>
      </c>
      <c r="G13" s="25"/>
      <c r="H13" s="25">
        <f t="shared" ca="1" si="6"/>
        <v>1</v>
      </c>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row>
    <row r="14" spans="1:64" s="3" customFormat="1" ht="21">
      <c r="A14" s="19"/>
      <c r="B14" s="31" t="s">
        <v>22</v>
      </c>
      <c r="C14" s="32" t="s">
        <v>21</v>
      </c>
      <c r="D14" s="33">
        <v>1</v>
      </c>
      <c r="E14" s="34">
        <v>45982</v>
      </c>
      <c r="F14" s="35">
        <v>45991</v>
      </c>
      <c r="G14" s="25"/>
      <c r="H14" s="25"/>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row>
    <row r="15" spans="1:64" s="3" customFormat="1" ht="21">
      <c r="A15" s="19"/>
      <c r="B15" s="31" t="s">
        <v>23</v>
      </c>
      <c r="C15" s="32" t="s">
        <v>24</v>
      </c>
      <c r="D15" s="33">
        <v>1</v>
      </c>
      <c r="E15" s="34">
        <v>45982</v>
      </c>
      <c r="F15" s="35">
        <v>45991</v>
      </c>
      <c r="G15" s="25"/>
      <c r="H15" s="25"/>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row>
    <row r="16" spans="1:64" s="3" customFormat="1" ht="21">
      <c r="A16" s="19"/>
      <c r="B16" s="31" t="s">
        <v>25</v>
      </c>
      <c r="C16" s="32" t="s">
        <v>14</v>
      </c>
      <c r="D16" s="33">
        <v>1</v>
      </c>
      <c r="E16" s="34">
        <v>45982</v>
      </c>
      <c r="F16" s="35">
        <v>45991</v>
      </c>
      <c r="G16" s="25"/>
      <c r="H16" s="25"/>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row>
    <row r="17" spans="1:64" s="3" customFormat="1" ht="21">
      <c r="A17" s="19"/>
      <c r="B17" s="31" t="s">
        <v>26</v>
      </c>
      <c r="C17" s="32" t="s">
        <v>27</v>
      </c>
      <c r="D17" s="33">
        <v>1</v>
      </c>
      <c r="E17" s="34">
        <v>45982</v>
      </c>
      <c r="F17" s="35">
        <v>45991</v>
      </c>
      <c r="G17" s="25"/>
      <c r="H17" s="25"/>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row>
    <row r="18" spans="1:64" s="3" customFormat="1" ht="21">
      <c r="A18" s="19"/>
      <c r="B18" s="36" t="s">
        <v>28</v>
      </c>
      <c r="C18" s="37"/>
      <c r="D18" s="38"/>
      <c r="E18" s="39"/>
      <c r="F18" s="40"/>
      <c r="G18" s="25"/>
      <c r="H18" s="25" t="str">
        <f t="shared" ca="1" si="6"/>
        <v/>
      </c>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row>
    <row r="19" spans="1:64" s="3" customFormat="1" ht="21">
      <c r="A19" s="19"/>
      <c r="B19" s="41" t="s">
        <v>29</v>
      </c>
      <c r="C19" s="42" t="s">
        <v>30</v>
      </c>
      <c r="D19" s="43">
        <v>1</v>
      </c>
      <c r="E19" s="85">
        <v>46034</v>
      </c>
      <c r="F19" s="86">
        <v>46043</v>
      </c>
      <c r="G19" s="25"/>
      <c r="H19" s="25"/>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row>
    <row r="20" spans="1:64" s="3" customFormat="1" ht="21">
      <c r="A20" s="19"/>
      <c r="B20" s="41" t="s">
        <v>31</v>
      </c>
      <c r="C20" s="42" t="s">
        <v>17</v>
      </c>
      <c r="D20" s="43">
        <v>1</v>
      </c>
      <c r="E20" s="85">
        <v>46034</v>
      </c>
      <c r="F20" s="86">
        <v>46043</v>
      </c>
      <c r="G20" s="25"/>
      <c r="H20" s="25">
        <f t="shared" ca="1" si="6"/>
        <v>10</v>
      </c>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row>
    <row r="21" spans="1:64" s="3" customFormat="1" ht="21">
      <c r="A21" s="19"/>
      <c r="B21" s="41" t="s">
        <v>32</v>
      </c>
      <c r="C21" s="42" t="s">
        <v>19</v>
      </c>
      <c r="D21" s="43">
        <v>1</v>
      </c>
      <c r="E21" s="85">
        <v>46036</v>
      </c>
      <c r="F21" s="86">
        <v>46036</v>
      </c>
      <c r="G21" s="25"/>
      <c r="H21" s="25">
        <f t="shared" ca="1" si="6"/>
        <v>1</v>
      </c>
      <c r="I21" s="66"/>
      <c r="J21" s="66"/>
      <c r="K21" s="66"/>
      <c r="L21" s="66"/>
      <c r="M21" s="66"/>
      <c r="N21" s="66"/>
      <c r="O21" s="66"/>
      <c r="P21" s="66"/>
      <c r="Q21" s="66"/>
      <c r="R21" s="66"/>
      <c r="S21" s="66"/>
      <c r="T21" s="66"/>
      <c r="U21" s="67"/>
      <c r="V21" s="67"/>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row>
    <row r="22" spans="1:64" s="3" customFormat="1" ht="21">
      <c r="A22" s="19"/>
      <c r="B22" s="41" t="s">
        <v>33</v>
      </c>
      <c r="C22" s="42" t="s">
        <v>19</v>
      </c>
      <c r="D22" s="43">
        <v>1</v>
      </c>
      <c r="E22" s="44">
        <v>46043</v>
      </c>
      <c r="F22" s="45">
        <v>46045</v>
      </c>
      <c r="G22" s="25"/>
      <c r="H22" s="25">
        <f t="shared" ca="1" si="6"/>
        <v>3</v>
      </c>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row>
    <row r="23" spans="1:64" s="3" customFormat="1" ht="21">
      <c r="A23" s="19"/>
      <c r="B23" s="41" t="s">
        <v>34</v>
      </c>
      <c r="C23" s="42" t="s">
        <v>21</v>
      </c>
      <c r="D23" s="43">
        <v>1</v>
      </c>
      <c r="E23" s="44">
        <v>46078</v>
      </c>
      <c r="F23" s="45">
        <v>46085</v>
      </c>
      <c r="G23" s="25"/>
      <c r="H23" s="25"/>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row>
    <row r="24" spans="1:64" s="3" customFormat="1" ht="21">
      <c r="A24" s="19"/>
      <c r="B24" s="41" t="s">
        <v>35</v>
      </c>
      <c r="C24" s="107" t="s">
        <v>14</v>
      </c>
      <c r="D24" s="43">
        <v>1</v>
      </c>
      <c r="E24" s="44">
        <v>46078</v>
      </c>
      <c r="F24" s="45">
        <v>46085</v>
      </c>
      <c r="G24" s="25"/>
      <c r="H24" s="25"/>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row>
    <row r="25" spans="1:64" s="3" customFormat="1" ht="21">
      <c r="A25" s="19"/>
      <c r="B25" s="41" t="s">
        <v>36</v>
      </c>
      <c r="C25" s="42" t="s">
        <v>24</v>
      </c>
      <c r="D25" s="43">
        <v>1</v>
      </c>
      <c r="E25" s="44">
        <v>46078</v>
      </c>
      <c r="F25" s="45">
        <v>46085</v>
      </c>
      <c r="G25" s="25"/>
      <c r="H25" s="25"/>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row>
    <row r="26" spans="1:64" s="3" customFormat="1" ht="21">
      <c r="A26" s="19"/>
      <c r="B26" s="41" t="s">
        <v>37</v>
      </c>
      <c r="C26" s="42" t="s">
        <v>17</v>
      </c>
      <c r="D26" s="43">
        <v>1</v>
      </c>
      <c r="E26" s="44">
        <v>46078</v>
      </c>
      <c r="F26" s="45">
        <v>46085</v>
      </c>
      <c r="G26" s="25"/>
      <c r="H26" s="25"/>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row>
    <row r="27" spans="1:64" s="3" customFormat="1" ht="21">
      <c r="A27" s="19"/>
      <c r="B27" s="41" t="s">
        <v>38</v>
      </c>
      <c r="C27" s="42" t="s">
        <v>39</v>
      </c>
      <c r="D27" s="43">
        <v>1</v>
      </c>
      <c r="E27" s="44">
        <v>46078</v>
      </c>
      <c r="F27" s="45">
        <v>46085</v>
      </c>
      <c r="G27" s="25"/>
      <c r="H27" s="25"/>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row>
    <row r="28" spans="1:64" s="3" customFormat="1" ht="21">
      <c r="A28" s="19"/>
      <c r="B28" s="41" t="s">
        <v>40</v>
      </c>
      <c r="C28" s="42"/>
      <c r="D28" s="43">
        <v>1</v>
      </c>
      <c r="E28" s="44">
        <v>46092</v>
      </c>
      <c r="F28" s="45">
        <v>46099</v>
      </c>
      <c r="G28" s="25"/>
      <c r="H28" s="25"/>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row>
    <row r="29" spans="1:64" s="3" customFormat="1" ht="21">
      <c r="A29" s="19"/>
      <c r="B29" s="41" t="s">
        <v>41</v>
      </c>
      <c r="C29" s="42" t="s">
        <v>19</v>
      </c>
      <c r="D29" s="43">
        <v>1</v>
      </c>
      <c r="E29" s="44">
        <v>46045</v>
      </c>
      <c r="F29" s="45">
        <v>46052</v>
      </c>
      <c r="G29" s="25"/>
      <c r="H29" s="25"/>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row>
    <row r="30" spans="1:64" s="3" customFormat="1" ht="21">
      <c r="A30" s="19"/>
      <c r="B30" s="41" t="s">
        <v>42</v>
      </c>
      <c r="C30" s="42" t="s">
        <v>19</v>
      </c>
      <c r="D30" s="43">
        <v>1</v>
      </c>
      <c r="E30" s="44">
        <v>46052</v>
      </c>
      <c r="F30" s="45">
        <v>46056</v>
      </c>
      <c r="G30" s="25"/>
      <c r="H30" s="25"/>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row>
    <row r="31" spans="1:64" s="3" customFormat="1" ht="21">
      <c r="A31" s="19"/>
      <c r="B31" s="41" t="s">
        <v>43</v>
      </c>
      <c r="C31" s="42" t="s">
        <v>21</v>
      </c>
      <c r="D31" s="43">
        <v>1</v>
      </c>
      <c r="E31" s="44">
        <v>46057</v>
      </c>
      <c r="F31" s="45">
        <v>46092</v>
      </c>
      <c r="G31" s="25"/>
      <c r="H31" s="25"/>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row>
    <row r="32" spans="1:64" s="3" customFormat="1" ht="21">
      <c r="A32" s="19"/>
      <c r="B32" s="41" t="s">
        <v>44</v>
      </c>
      <c r="C32" s="42" t="s">
        <v>21</v>
      </c>
      <c r="D32" s="43">
        <v>1</v>
      </c>
      <c r="E32" s="45">
        <v>46092</v>
      </c>
      <c r="F32" s="45">
        <v>46092</v>
      </c>
      <c r="G32" s="25"/>
      <c r="H32" s="25"/>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row>
    <row r="33" spans="1:64" s="3" customFormat="1" ht="21">
      <c r="A33" s="19"/>
      <c r="B33" s="41" t="s">
        <v>45</v>
      </c>
      <c r="C33" s="42" t="s">
        <v>21</v>
      </c>
      <c r="D33" s="43">
        <v>0.75</v>
      </c>
      <c r="E33" s="45">
        <v>46092</v>
      </c>
      <c r="F33" s="45">
        <v>46099</v>
      </c>
      <c r="G33" s="25"/>
      <c r="H33" s="25"/>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row>
    <row r="34" spans="1:64" s="3" customFormat="1" ht="21">
      <c r="A34" s="19"/>
      <c r="B34" s="41" t="s">
        <v>46</v>
      </c>
      <c r="C34" s="42" t="s">
        <v>21</v>
      </c>
      <c r="D34" s="43">
        <v>0</v>
      </c>
      <c r="E34" s="45">
        <v>46099</v>
      </c>
      <c r="F34" s="45">
        <v>46099</v>
      </c>
      <c r="G34" s="25"/>
      <c r="H34" s="25"/>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row>
    <row r="35" spans="1:64" s="3" customFormat="1" ht="21">
      <c r="A35" s="19"/>
      <c r="B35" s="41" t="s">
        <v>47</v>
      </c>
      <c r="C35" s="42" t="s">
        <v>21</v>
      </c>
      <c r="D35" s="43">
        <v>0.9</v>
      </c>
      <c r="E35" s="45">
        <v>46098</v>
      </c>
      <c r="F35" s="45">
        <v>46100</v>
      </c>
      <c r="G35" s="25"/>
      <c r="H35" s="25"/>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row>
    <row r="36" spans="1:64" s="3" customFormat="1" ht="21">
      <c r="A36" s="19"/>
      <c r="B36" s="46" t="s">
        <v>48</v>
      </c>
      <c r="C36" s="87"/>
      <c r="D36" s="88"/>
      <c r="E36" s="89"/>
      <c r="F36" s="90"/>
      <c r="G36" s="25"/>
      <c r="H36" s="25" t="str">
        <f t="shared" ca="1" si="6"/>
        <v/>
      </c>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row>
    <row r="37" spans="1:64" s="3" customFormat="1" ht="21">
      <c r="A37" s="19"/>
      <c r="B37" s="47" t="s">
        <v>49</v>
      </c>
      <c r="C37" s="48" t="s">
        <v>14</v>
      </c>
      <c r="D37" s="49">
        <v>1</v>
      </c>
      <c r="E37" s="50">
        <v>46034</v>
      </c>
      <c r="F37" s="51">
        <v>46036</v>
      </c>
      <c r="G37" s="25"/>
      <c r="H37" s="25">
        <f t="shared" ca="1" si="6"/>
        <v>3</v>
      </c>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row>
    <row r="38" spans="1:64" s="3" customFormat="1" ht="21">
      <c r="A38" s="19"/>
      <c r="B38" s="47" t="s">
        <v>50</v>
      </c>
      <c r="C38" s="48" t="s">
        <v>14</v>
      </c>
      <c r="D38" s="49">
        <v>1</v>
      </c>
      <c r="E38" s="51">
        <v>46036</v>
      </c>
      <c r="F38" s="51">
        <v>46038</v>
      </c>
      <c r="G38" s="25"/>
      <c r="H38" s="25"/>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row>
    <row r="39" spans="1:64" s="3" customFormat="1" ht="21">
      <c r="A39" s="19"/>
      <c r="B39" s="47" t="s">
        <v>51</v>
      </c>
      <c r="C39" s="48" t="s">
        <v>14</v>
      </c>
      <c r="D39" s="49">
        <v>1</v>
      </c>
      <c r="E39" s="51">
        <v>46038</v>
      </c>
      <c r="F39" s="51">
        <v>46041</v>
      </c>
      <c r="G39" s="25"/>
      <c r="H39" s="25"/>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row>
    <row r="40" spans="1:64" s="3" customFormat="1" ht="21">
      <c r="A40" s="19"/>
      <c r="B40" s="47" t="s">
        <v>52</v>
      </c>
      <c r="C40" s="48" t="s">
        <v>21</v>
      </c>
      <c r="D40" s="49">
        <v>1</v>
      </c>
      <c r="E40" s="51">
        <v>46041</v>
      </c>
      <c r="F40" s="51">
        <v>46043</v>
      </c>
      <c r="G40" s="25"/>
      <c r="H40" s="25"/>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row>
    <row r="41" spans="1:64" s="3" customFormat="1" ht="21">
      <c r="A41" s="19"/>
      <c r="B41" s="47" t="s">
        <v>53</v>
      </c>
      <c r="C41" s="48" t="s">
        <v>21</v>
      </c>
      <c r="D41" s="49">
        <v>0.5</v>
      </c>
      <c r="E41" s="51">
        <v>46044</v>
      </c>
      <c r="F41" s="51">
        <v>46050</v>
      </c>
      <c r="G41" s="25"/>
      <c r="H41" s="25"/>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row>
    <row r="42" spans="1:64" s="3" customFormat="1" ht="21">
      <c r="A42" s="19"/>
      <c r="B42" s="47" t="s">
        <v>54</v>
      </c>
      <c r="C42" s="48" t="s">
        <v>55</v>
      </c>
      <c r="D42" s="49">
        <v>0.5</v>
      </c>
      <c r="E42" s="51">
        <v>46051</v>
      </c>
      <c r="F42" s="51">
        <v>46058</v>
      </c>
      <c r="G42" s="25"/>
      <c r="H42" s="25"/>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row>
    <row r="43" spans="1:64" s="3" customFormat="1" ht="21">
      <c r="A43" s="19"/>
      <c r="B43" s="47" t="s">
        <v>56</v>
      </c>
      <c r="C43" s="48" t="s">
        <v>57</v>
      </c>
      <c r="D43" s="49">
        <v>1</v>
      </c>
      <c r="E43" s="51">
        <v>46059</v>
      </c>
      <c r="F43" s="51">
        <v>46071</v>
      </c>
      <c r="G43" s="25"/>
      <c r="H43" s="25"/>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row>
    <row r="44" spans="1:64" s="3" customFormat="1" ht="21">
      <c r="A44" s="19"/>
      <c r="B44" s="47" t="s">
        <v>58</v>
      </c>
      <c r="C44" s="48" t="s">
        <v>59</v>
      </c>
      <c r="D44" s="49">
        <v>1</v>
      </c>
      <c r="E44" s="51">
        <v>46072</v>
      </c>
      <c r="F44" s="51">
        <v>46085</v>
      </c>
      <c r="G44" s="25"/>
      <c r="H44" s="25"/>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row>
    <row r="45" spans="1:64" s="3" customFormat="1" ht="21">
      <c r="A45" s="19"/>
      <c r="B45" s="47" t="s">
        <v>60</v>
      </c>
      <c r="C45" s="48" t="s">
        <v>55</v>
      </c>
      <c r="D45" s="49">
        <v>0.9</v>
      </c>
      <c r="E45" s="51">
        <v>46086</v>
      </c>
      <c r="F45" s="51">
        <v>46100</v>
      </c>
      <c r="G45" s="25"/>
      <c r="H45" s="25"/>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row>
    <row r="46" spans="1:64" s="3" customFormat="1" ht="21">
      <c r="A46" s="19"/>
      <c r="B46" s="52" t="s">
        <v>61</v>
      </c>
      <c r="C46" s="91"/>
      <c r="D46" s="92"/>
      <c r="E46" s="93"/>
      <c r="F46" s="93"/>
      <c r="G46" s="25"/>
      <c r="H46" s="25" t="str">
        <f t="shared" ca="1" si="6"/>
        <v/>
      </c>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row>
    <row r="47" spans="1:64" s="3" customFormat="1" ht="21">
      <c r="A47" s="19"/>
      <c r="B47" s="53" t="s">
        <v>62</v>
      </c>
      <c r="C47" s="54" t="s">
        <v>55</v>
      </c>
      <c r="D47" s="55">
        <v>1</v>
      </c>
      <c r="E47" s="56">
        <v>46000</v>
      </c>
      <c r="F47" s="56">
        <v>46000</v>
      </c>
      <c r="G47" s="25"/>
      <c r="H47" s="25"/>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row>
    <row r="48" spans="1:64" s="3" customFormat="1" ht="21">
      <c r="A48" s="19"/>
      <c r="B48" s="53" t="s">
        <v>63</v>
      </c>
      <c r="C48" s="54" t="s">
        <v>14</v>
      </c>
      <c r="D48" s="55">
        <v>0.8</v>
      </c>
      <c r="E48" s="56">
        <v>46096</v>
      </c>
      <c r="F48" s="56">
        <v>46100</v>
      </c>
      <c r="G48" s="25"/>
      <c r="H48" s="25"/>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row>
    <row r="49" spans="1:64" s="3" customFormat="1" ht="21">
      <c r="A49" s="19"/>
      <c r="B49" s="53" t="s">
        <v>64</v>
      </c>
      <c r="C49" s="54" t="s">
        <v>27</v>
      </c>
      <c r="D49" s="55">
        <v>1</v>
      </c>
      <c r="E49" s="56">
        <v>46085</v>
      </c>
      <c r="F49" s="56">
        <v>46099</v>
      </c>
      <c r="G49" s="25"/>
      <c r="H49" s="25"/>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row>
    <row r="50" spans="1:64" s="3" customFormat="1" ht="21">
      <c r="A50" s="19"/>
      <c r="B50" s="53" t="s">
        <v>65</v>
      </c>
      <c r="C50" s="54" t="s">
        <v>19</v>
      </c>
      <c r="D50" s="55">
        <v>0.8</v>
      </c>
      <c r="E50" s="56">
        <v>46085</v>
      </c>
      <c r="F50" s="56">
        <v>46099</v>
      </c>
      <c r="G50" s="25"/>
      <c r="H50" s="25">
        <f t="shared" ca="1" si="6"/>
        <v>15</v>
      </c>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row>
    <row r="51" spans="1:64" s="3" customFormat="1" ht="21.4" thickBot="1">
      <c r="A51" s="19"/>
      <c r="B51" s="57" t="s">
        <v>66</v>
      </c>
      <c r="C51" s="94"/>
      <c r="D51" s="95"/>
      <c r="E51" s="96"/>
      <c r="F51" s="97"/>
      <c r="G51" s="25"/>
      <c r="H51" s="25" t="str">
        <f t="shared" ca="1" si="6"/>
        <v/>
      </c>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row>
    <row r="52" spans="1:64" s="3" customFormat="1" ht="21.4" thickBot="1">
      <c r="A52" s="19"/>
      <c r="B52" s="58" t="s">
        <v>67</v>
      </c>
      <c r="C52" s="59" t="s">
        <v>21</v>
      </c>
      <c r="D52" s="99">
        <v>1</v>
      </c>
      <c r="E52" s="100">
        <v>46064</v>
      </c>
      <c r="F52" s="100">
        <v>46071</v>
      </c>
      <c r="G52" s="25"/>
      <c r="H52" s="25"/>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row>
    <row r="53" spans="1:64" s="3" customFormat="1" ht="21.4" thickBot="1">
      <c r="A53" s="19"/>
      <c r="B53" s="58" t="s">
        <v>68</v>
      </c>
      <c r="C53" s="59" t="s">
        <v>69</v>
      </c>
      <c r="D53" s="99">
        <v>1</v>
      </c>
      <c r="E53" s="100">
        <v>46064</v>
      </c>
      <c r="F53" s="100">
        <v>46071</v>
      </c>
      <c r="G53" s="25"/>
      <c r="H53" s="25"/>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row>
    <row r="54" spans="1:64" s="3" customFormat="1" ht="21.4" thickBot="1">
      <c r="A54" s="19"/>
      <c r="B54" s="58" t="s">
        <v>70</v>
      </c>
      <c r="C54" s="59" t="s">
        <v>14</v>
      </c>
      <c r="D54" s="99">
        <v>1</v>
      </c>
      <c r="E54" s="100">
        <v>46064</v>
      </c>
      <c r="F54" s="100">
        <v>46071</v>
      </c>
      <c r="G54" s="25"/>
      <c r="H54" s="25"/>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row>
    <row r="55" spans="1:64" s="3" customFormat="1" ht="21.4" thickBot="1">
      <c r="A55" s="19"/>
      <c r="B55" s="58" t="s">
        <v>71</v>
      </c>
      <c r="C55" s="59" t="s">
        <v>21</v>
      </c>
      <c r="D55" s="99">
        <v>1</v>
      </c>
      <c r="E55" s="100">
        <v>46064</v>
      </c>
      <c r="F55" s="100">
        <v>46071</v>
      </c>
      <c r="G55" s="25"/>
      <c r="H55" s="25"/>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row>
    <row r="56" spans="1:64" s="3" customFormat="1" ht="21.4" thickBot="1">
      <c r="A56" s="19"/>
      <c r="B56" s="58" t="s">
        <v>72</v>
      </c>
      <c r="C56" s="59" t="s">
        <v>73</v>
      </c>
      <c r="D56" s="99">
        <v>1</v>
      </c>
      <c r="E56" s="100">
        <v>46064</v>
      </c>
      <c r="F56" s="100">
        <v>46078</v>
      </c>
      <c r="G56" s="25"/>
      <c r="H56" s="25"/>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row>
    <row r="57" spans="1:64" s="3" customFormat="1" ht="21.4" thickBot="1">
      <c r="A57" s="19"/>
      <c r="B57" s="58" t="s">
        <v>74</v>
      </c>
      <c r="C57" s="59" t="s">
        <v>75</v>
      </c>
      <c r="D57" s="99">
        <v>1</v>
      </c>
      <c r="E57" s="100">
        <v>46071</v>
      </c>
      <c r="F57" s="100">
        <v>46078</v>
      </c>
      <c r="G57" s="25"/>
      <c r="H57" s="25"/>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row>
    <row r="58" spans="1:64" s="3" customFormat="1" ht="21.4" thickBot="1">
      <c r="A58" s="19"/>
      <c r="B58" s="58" t="s">
        <v>76</v>
      </c>
      <c r="C58" s="59" t="s">
        <v>14</v>
      </c>
      <c r="D58" s="99">
        <v>1</v>
      </c>
      <c r="E58" s="100">
        <v>46071</v>
      </c>
      <c r="F58" s="100">
        <v>46085</v>
      </c>
      <c r="G58" s="25"/>
      <c r="H58" s="25"/>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row>
    <row r="59" spans="1:64" s="3" customFormat="1" ht="21.4" thickBot="1">
      <c r="A59" s="19"/>
      <c r="B59" s="58" t="s">
        <v>77</v>
      </c>
      <c r="C59" s="59" t="s">
        <v>78</v>
      </c>
      <c r="D59" s="99">
        <v>0.95</v>
      </c>
      <c r="E59" s="100">
        <v>46078</v>
      </c>
      <c r="F59" s="100">
        <v>46099</v>
      </c>
      <c r="G59" s="25"/>
      <c r="H59" s="25"/>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row>
    <row r="60" spans="1:64" s="3" customFormat="1" ht="21">
      <c r="A60" s="19"/>
      <c r="B60" s="58" t="s">
        <v>79</v>
      </c>
      <c r="C60" s="59" t="s">
        <v>69</v>
      </c>
      <c r="D60" s="99">
        <v>0.95</v>
      </c>
      <c r="E60" s="100">
        <v>46057</v>
      </c>
      <c r="F60" s="100">
        <v>46099</v>
      </c>
      <c r="G60" s="25"/>
      <c r="H60" s="25"/>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row>
    <row r="61" spans="1:64" s="3" customFormat="1" ht="21">
      <c r="A61" s="19"/>
      <c r="B61" s="58" t="s">
        <v>80</v>
      </c>
      <c r="C61" s="59" t="s">
        <v>27</v>
      </c>
      <c r="D61" s="99">
        <v>0.5</v>
      </c>
      <c r="E61" s="101">
        <v>46099</v>
      </c>
      <c r="F61" s="100">
        <v>46100</v>
      </c>
      <c r="G61" s="25"/>
      <c r="H61" s="25">
        <f t="shared" ca="1" si="6"/>
        <v>2</v>
      </c>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row>
    <row r="62" spans="1:64" s="3" customFormat="1" ht="21">
      <c r="A62" s="19"/>
      <c r="B62" s="58" t="s">
        <v>81</v>
      </c>
      <c r="C62" s="59" t="s">
        <v>27</v>
      </c>
      <c r="D62" s="99">
        <v>1</v>
      </c>
      <c r="E62" s="101">
        <v>46099</v>
      </c>
      <c r="F62" s="101">
        <v>46100</v>
      </c>
      <c r="G62" s="25"/>
      <c r="H62" s="25">
        <f t="shared" ca="1" si="6"/>
        <v>2</v>
      </c>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row>
    <row r="63" spans="1:64" s="3" customFormat="1" ht="21">
      <c r="A63" s="19"/>
      <c r="B63" s="58" t="s">
        <v>82</v>
      </c>
      <c r="C63" s="59" t="s">
        <v>27</v>
      </c>
      <c r="D63" s="99">
        <v>0</v>
      </c>
      <c r="E63" s="101">
        <v>46099</v>
      </c>
      <c r="F63" s="101">
        <v>46100</v>
      </c>
      <c r="G63" s="25"/>
      <c r="H63" s="25">
        <f t="shared" ca="1" si="6"/>
        <v>2</v>
      </c>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row>
    <row r="64" spans="1:64" s="3" customFormat="1" ht="21">
      <c r="A64" s="19"/>
      <c r="B64" s="58" t="s">
        <v>83</v>
      </c>
      <c r="C64" s="98" t="s">
        <v>27</v>
      </c>
      <c r="D64" s="99">
        <v>0</v>
      </c>
      <c r="E64" s="101">
        <v>46099</v>
      </c>
      <c r="F64" s="101">
        <v>46100</v>
      </c>
      <c r="G64" s="25"/>
      <c r="H64" s="25">
        <f t="shared" ca="1" si="6"/>
        <v>2</v>
      </c>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row>
    <row r="65" spans="1:64" s="3" customFormat="1" ht="21">
      <c r="A65" s="19"/>
      <c r="B65" s="46" t="s">
        <v>84</v>
      </c>
      <c r="C65" s="103"/>
      <c r="D65" s="104"/>
      <c r="E65" s="105"/>
      <c r="F65" s="106"/>
      <c r="G65" s="25"/>
      <c r="H65" s="25" t="str">
        <f t="shared" ca="1" si="6"/>
        <v/>
      </c>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66"/>
      <c r="BL65" s="66"/>
    </row>
    <row r="66" spans="1:64" s="3" customFormat="1" ht="21.4" thickBot="1">
      <c r="A66" s="19"/>
      <c r="B66" s="47" t="s">
        <v>85</v>
      </c>
      <c r="C66" s="48" t="s">
        <v>27</v>
      </c>
      <c r="D66" s="49">
        <v>1</v>
      </c>
      <c r="E66" s="50">
        <v>46057</v>
      </c>
      <c r="F66" s="50">
        <v>46078</v>
      </c>
      <c r="G66" s="25"/>
      <c r="H66" s="25">
        <f t="shared" ca="1" si="6"/>
        <v>22</v>
      </c>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row>
    <row r="67" spans="1:64" s="3" customFormat="1" ht="21.4" thickBot="1">
      <c r="A67" s="19"/>
      <c r="B67" s="47" t="s">
        <v>86</v>
      </c>
      <c r="C67" s="48" t="s">
        <v>24</v>
      </c>
      <c r="D67" s="49">
        <v>1</v>
      </c>
      <c r="E67" s="50">
        <v>46078</v>
      </c>
      <c r="F67" s="50">
        <v>46092</v>
      </c>
      <c r="G67" s="25"/>
      <c r="H67" s="25"/>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row>
    <row r="68" spans="1:64" s="3" customFormat="1" ht="21.4" thickBot="1">
      <c r="A68" s="19"/>
      <c r="B68" s="47" t="s">
        <v>87</v>
      </c>
      <c r="C68" s="48" t="s">
        <v>24</v>
      </c>
      <c r="D68" s="49">
        <v>1</v>
      </c>
      <c r="E68" s="50">
        <v>46057</v>
      </c>
      <c r="F68" s="50">
        <v>46092</v>
      </c>
      <c r="G68" s="25"/>
      <c r="H68" s="25"/>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row>
    <row r="69" spans="1:64" s="3" customFormat="1" ht="21.4" thickBot="1">
      <c r="A69" s="19"/>
      <c r="B69" s="47" t="s">
        <v>88</v>
      </c>
      <c r="C69" s="48" t="s">
        <v>24</v>
      </c>
      <c r="D69" s="49">
        <v>1</v>
      </c>
      <c r="E69" s="50">
        <v>46057</v>
      </c>
      <c r="F69" s="50">
        <v>46078</v>
      </c>
      <c r="G69" s="25"/>
      <c r="H69" s="25"/>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row>
    <row r="70" spans="1:64" s="3" customFormat="1" ht="21.4" thickBot="1">
      <c r="A70" s="19"/>
      <c r="B70" s="47" t="s">
        <v>89</v>
      </c>
      <c r="C70" s="48" t="s">
        <v>90</v>
      </c>
      <c r="D70" s="49">
        <v>1</v>
      </c>
      <c r="E70" s="50">
        <v>46057</v>
      </c>
      <c r="F70" s="50">
        <v>46071</v>
      </c>
      <c r="G70" s="25"/>
      <c r="H70" s="25"/>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row>
    <row r="71" spans="1:64" s="3" customFormat="1" ht="21.4" thickBot="1">
      <c r="A71" s="19"/>
      <c r="B71" s="47" t="s">
        <v>91</v>
      </c>
      <c r="C71" s="48" t="s">
        <v>27</v>
      </c>
      <c r="D71" s="49">
        <v>1</v>
      </c>
      <c r="E71" s="50">
        <v>46092</v>
      </c>
      <c r="F71" s="50">
        <v>46099</v>
      </c>
      <c r="G71" s="65"/>
      <c r="H71" s="65">
        <f t="shared" ca="1" si="6"/>
        <v>8</v>
      </c>
      <c r="I71" s="68"/>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68"/>
      <c r="BF71" s="68"/>
      <c r="BG71" s="68"/>
      <c r="BH71" s="68"/>
      <c r="BI71" s="68"/>
      <c r="BJ71" s="68"/>
      <c r="BK71" s="68"/>
      <c r="BL71" s="68"/>
    </row>
    <row r="72" spans="1:64" ht="14.65" thickBot="1">
      <c r="A72" s="6"/>
      <c r="B72" s="20"/>
      <c r="C72" s="61"/>
      <c r="D72" s="62"/>
      <c r="E72" s="63"/>
      <c r="F72" s="64"/>
      <c r="G72" s="6"/>
    </row>
    <row r="73" spans="1:64" ht="14.65" thickBot="1">
      <c r="B73" s="60" t="s">
        <v>92</v>
      </c>
    </row>
    <row r="74" spans="1:64">
      <c r="C74" s="17"/>
      <c r="F74" s="79">
        <v>43113</v>
      </c>
    </row>
    <row r="75" spans="1:64">
      <c r="B75" s="17" t="s">
        <v>93</v>
      </c>
      <c r="C75" s="18"/>
    </row>
    <row r="76" spans="1:64">
      <c r="B76" s="83" t="s">
        <v>94</v>
      </c>
    </row>
    <row r="77" spans="1:64">
      <c r="B77" s="82" t="s">
        <v>95</v>
      </c>
    </row>
  </sheetData>
  <mergeCells count="11">
    <mergeCell ref="J1:AA1"/>
    <mergeCell ref="AK4:AQ4"/>
    <mergeCell ref="AR4:AX4"/>
    <mergeCell ref="AY4:BE4"/>
    <mergeCell ref="BF4:BL4"/>
    <mergeCell ref="E2:F2"/>
    <mergeCell ref="I4:O4"/>
    <mergeCell ref="P4:V4"/>
    <mergeCell ref="W4:AC4"/>
    <mergeCell ref="AD4:AJ4"/>
    <mergeCell ref="E3:F3"/>
  </mergeCells>
  <conditionalFormatting sqref="D7:D72">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8 I9:AA9 AD9:BL9 I10:BL71">
    <cfRule type="expression" dxfId="2" priority="27">
      <formula>AND(today&gt;=I$5,today&lt;I$5+1)</formula>
    </cfRule>
  </conditionalFormatting>
  <conditionalFormatting sqref="I7:BL8 I9:AA9 AD9:BL9 I10:BL71">
    <cfRule type="expression" dxfId="1" priority="25">
      <formula>AND(task_start&lt;=I$5,ROUNDDOWN((task_end-task_start+1)*task_progress,0)+task_start-1&gt;=I$5)</formula>
    </cfRule>
    <cfRule type="expression" dxfId="0" priority="26"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B76" r:id="rId1" xr:uid="{00000000-0004-0000-0000-000000000000}"/>
    <hyperlink ref="B75" r:id="rId2" xr:uid="{00000000-0004-0000-0000-000001000000}"/>
  </hyperlinks>
  <pageMargins left="0.35" right="0.35" top="0.35" bottom="0.5" header="0.3" footer="0.3"/>
  <pageSetup scale="62" fitToHeight="0" orientation="landscape" r:id="rId3"/>
  <headerFooter scaleWithDoc="0"/>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D7:D72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40625" defaultRowHeight="13.15"/>
  <cols>
    <col min="1" max="1" width="2.85546875" style="2" customWidth="1"/>
    <col min="2" max="2" width="87.140625" style="69" customWidth="1"/>
    <col min="3" max="16384" width="9.140625" style="2"/>
  </cols>
  <sheetData>
    <row r="1" spans="2:3" ht="46.5" customHeight="1"/>
    <row r="2" spans="2:3" s="71" customFormat="1" ht="15.75">
      <c r="B2" s="70" t="s">
        <v>93</v>
      </c>
      <c r="C2" s="70"/>
    </row>
    <row r="3" spans="2:3" s="73" customFormat="1" ht="13.5" customHeight="1">
      <c r="B3" s="72" t="s">
        <v>94</v>
      </c>
      <c r="C3" s="72"/>
    </row>
    <row r="4" spans="2:3">
      <c r="B4" s="81" t="s">
        <v>95</v>
      </c>
    </row>
    <row r="6" spans="2:3" s="74" customFormat="1" ht="25.5">
      <c r="B6" s="76" t="s">
        <v>96</v>
      </c>
    </row>
    <row r="7" spans="2:3" ht="57">
      <c r="B7" s="77" t="s">
        <v>97</v>
      </c>
    </row>
    <row r="8" spans="2:3" ht="14.25">
      <c r="B8" s="75"/>
    </row>
    <row r="9" spans="2:3" s="74" customFormat="1" ht="25.5">
      <c r="B9" s="76" t="s">
        <v>98</v>
      </c>
    </row>
    <row r="10" spans="2:3" ht="42.75">
      <c r="B10" s="77" t="s">
        <v>99</v>
      </c>
    </row>
    <row r="11" spans="2:3" ht="13.9">
      <c r="B11" s="78" t="s">
        <v>100</v>
      </c>
    </row>
    <row r="12" spans="2:3" ht="14.25">
      <c r="B12" s="75"/>
    </row>
    <row r="13" spans="2:3" ht="13.9">
      <c r="B13" s="84" t="str">
        <f>HYPERLINK("https://vertex42.link/HowToMakeAGanttChart","► Watch How This Gantt Chart Was Created")</f>
        <v>► Watch How This Gantt Chart Was Created</v>
      </c>
    </row>
    <row r="14" spans="2:3" ht="14.25">
      <c r="B14" s="75"/>
    </row>
    <row r="15" spans="2:3" s="74" customFormat="1" ht="25.5">
      <c r="B15" s="76" t="s">
        <v>101</v>
      </c>
    </row>
    <row r="16" spans="2:3" ht="28.5">
      <c r="B16" s="77" t="s">
        <v>102</v>
      </c>
    </row>
    <row r="17" spans="2:2" ht="13.9">
      <c r="B17" s="78" t="s">
        <v>103</v>
      </c>
    </row>
    <row r="18" spans="2:2" ht="14.25">
      <c r="B18" s="75"/>
    </row>
    <row r="19" spans="2:2" s="74" customFormat="1" ht="25.5">
      <c r="B19" s="76" t="s">
        <v>104</v>
      </c>
    </row>
    <row r="20" spans="2:2" ht="57">
      <c r="B20" s="77" t="s">
        <v>105</v>
      </c>
    </row>
    <row r="21" spans="2:2" ht="14.25">
      <c r="B21" s="75"/>
    </row>
    <row r="22" spans="2:2" ht="57">
      <c r="B22" s="77" t="s">
        <v>106</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a1b7f46-24c2-402e-be29-b517ac9e194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203E0C156CE1F4E92CB6AEBBD05F86A" ma:contentTypeVersion="10" ma:contentTypeDescription="Create a new document." ma:contentTypeScope="" ma:versionID="bb9752f6ba80a8df27ff1fce92a84c4e">
  <xsd:schema xmlns:xsd="http://www.w3.org/2001/XMLSchema" xmlns:xs="http://www.w3.org/2001/XMLSchema" xmlns:p="http://schemas.microsoft.com/office/2006/metadata/properties" xmlns:ns2="aa1b7f46-24c2-402e-be29-b517ac9e194d" targetNamespace="http://schemas.microsoft.com/office/2006/metadata/properties" ma:root="true" ma:fieldsID="f44c39843d8fa597c157f99acdfbb6c9" ns2:_="">
    <xsd:import namespace="aa1b7f46-24c2-402e-be29-b517ac9e19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1b7f46-24c2-402e-be29-b517ac9e19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0fb5408-abbc-4e9f-a2be-e9a514bfc8e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55F97D-6268-4CEF-9535-6607C3137E61}"/>
</file>

<file path=customXml/itemProps2.xml><?xml version="1.0" encoding="utf-8"?>
<ds:datastoreItem xmlns:ds="http://schemas.openxmlformats.org/officeDocument/2006/customXml" ds:itemID="{B5CB4385-9A8F-482C-BE35-46FDAC94DD80}"/>
</file>

<file path=customXml/itemProps3.xml><?xml version="1.0" encoding="utf-8"?>
<ds:datastoreItem xmlns:ds="http://schemas.openxmlformats.org/officeDocument/2006/customXml" ds:itemID="{EC741174-9F80-4F43-836E-1E22AD6A7A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subject/>
  <dc:creator>Vertex42.com</dc:creator>
  <cp:keywords/>
  <dc:description>© 2018-2019 Vertex42 LLC. All Rights Reserved.</dc:description>
  <cp:lastModifiedBy>Oluwatomisin Agbaje (Student)</cp:lastModifiedBy>
  <cp:revision/>
  <dcterms:created xsi:type="dcterms:W3CDTF">2017-01-09T18:01:51Z</dcterms:created>
  <dcterms:modified xsi:type="dcterms:W3CDTF">2026-03-18T14:48:44Z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y fmtid="{D5CDD505-2E9C-101B-9397-08002B2CF9AE}" pid="5" name="ContentTypeId">
    <vt:lpwstr>0x010100A203E0C156CE1F4E92CB6AEBBD05F86A</vt:lpwstr>
  </property>
  <property fmtid="{D5CDD505-2E9C-101B-9397-08002B2CF9AE}" pid="6" name="MediaServiceImageTags">
    <vt:lpwstr/>
  </property>
</Properties>
</file>